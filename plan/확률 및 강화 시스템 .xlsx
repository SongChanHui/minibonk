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확률 및 강화 시스템 구글 시트화" sheetId="1" r:id="rId5"/>
    <sheet state="visible" name="행운 등급 가중치 시뮬레이터" sheetId="2" r:id="rId6"/>
  </sheets>
  <definedNames/>
  <calcPr/>
</workbook>
</file>

<file path=xl/sharedStrings.xml><?xml version="1.0" encoding="utf-8"?>
<sst xmlns="http://schemas.openxmlformats.org/spreadsheetml/2006/main" count="68" uniqueCount="56">
  <si>
    <t xml:space="preserve">0. 전체 시스템 메커니즘 및 흐름 (Core Gameplay Flow)
0.1 게임 시작 및 초기 무기 선택
플레이어가 전장에 진입하는 첫 번째 단계입니다 . 유저의 선택권과 랜덤성을 동시에 부여하여 매 판 색다른 전략을 유도합니다 .
초기 선택 : 게임 시작 시 무작위로 제시되는 3 가지 무기 중 하나를 선택하여 장착합니다 .
리롤 (Reroll) 시스템 : 원하는 무기가 없을 경우 , 한정된 리롤권 을 소모하여 목록을 새롭게 갱신할 수 있습니다 . 이는 유저가 초반 빌드를 주도적으로 설계하게 만드는 장치입니다 .
0.2 핵심 구성 요소 정의
1) 무기 (Weapons)
플레이어의 화력을 담당하는 능동적 공격 수단 입니다 .
정의 : 캐릭터 주위에서 자동으로 적을 타격하는 고유한 메커니즘 (투사체 발사 , 근접 베기 등 ) 을 가진 장비입니다 .
성장 : 최대 40 레벨 까지 강화할 수 있습니다 . 레벨이 오를수록 대미지뿐만 아니라 발사체 수 , 공격 크기 등 외형적 화력의 변화가 뚜렷하게 나타납니다 .
2) 업그레이드 카드 (비전서 / Tomes)
캐릭터의 체급을 결정하는 패시브 능력치 입니다 .
정의 : 무기의 성능을 보조하거나 (공격 속도 , 투사체 속도 ) 캐릭터 자체의 스탯 (이동 속도 , 행운 ) 을 영구적으로 향상시키는 아이템입니다 .
성장 : 최대 99 레벨 까지 강화할 수 있습니다 . 무기가 만렙에 도달한 후에도 캐릭터를 무한에 가깝게 성장시켜 '무적 빌드 ' 를 완성하는 재미를 제공합니다 .
0.3 인벤토리 및 슬롯 관리 (Inventory &amp; Slot Management)
플레이어는 게임 시작 시점에 자신의 플레이 스타일과 전략에 맞춰 이번 판의 슬롯 개수를 직접 결정합니다 .
시작 시 슬롯 설정 (Start Choice) : 게임 시작 무기 선택 화면에서 이번 판에 사용할 무기 슬롯 및 카드 슬롯 의 개수를 각각 1 ~ 4 개 사이에서 자유롭게 선택합니다 .
시스템 자동 잠금 (Auto-Lock) : 유저가 선택한 개수만큼만 슬롯이 활성화되며 , 나머지 슬롯은 자동으로 비활성화 처리됩니다 . 유저는 인게임에서 추가적인 조작 없이 자신이 설정한 범위 내에서만 아이템을 획득하게 됩니다 .
전략적 자유도 : * 1 ~ 2 슬롯 : 특정 무기를 빠르게 성장시켜 강력한 한 방을 노리는 초압축 빌드 전략입니다 .
3 ~ 4 슬롯 : 다양한 무기와 카드의 시너지를 결합하여 화면을 화려하게 채우는 표준 빌드 전략입니다 .
0.4 카드 등장 가중치 로직
레벨업 시 나타나는 3가지 선택지는 유저가 시작할 때 설정한 슬롯 개수에 맞춰 아래의 3단계 필터 로직을 따릅니다 .
1단계 선택 유형 결정
주사위를 던져 이번 칸에 새로운 아이템을 제안할지 , 기존 아이템 강화를 제안할지 결정합니다 .
설정한 슬롯에 빈자리가 있을 때 : 기존 강화 33 / 신규 영입 67 확률로 등장합니다 .
설정한 슬롯이 모두 찼을 때 : 주사위 결과와 상관없이 기존 강화 100 으로 강제 전환됩니다 . 1슬롯 플레이어는 첫 무기 획득 후 즉시 모든 레벨업이 강화로만 구성됩니다 .
2단계 카테고리 결정
유형이 결정되면 무기를 줄지 업그레이드 카드를 줄지 결정합니다 .
확률 : 무기와 카드를 50 대 50 비율로 제안하여 빌드의 균형을 맞춥니다 .
스마트 리다이렉트 : 만약 한쪽 카테고리의 슬롯이 이미 꽉 찼거나 모든 아이템이 만렙이라면 , 남은 카테고리에 확률 100 을 몰아주어 선택지의 낭비를 방지합니다 .
3단계 최종 아이템 확정
해당 카테고리 내 후보군 중 하나를 균등 확률로 뽑습니다 .
확률 : 후보가 n개라면 각 아이템은 n분의 1 확률로 등장합니다 .
성장 종료 처리 : 특정 무기가 40 레벨 , 카드가 99 레벨에 도달하면 후보군에서 영구 제거됩니다 . 모든 슬롯이 만렙이 되면 레벨업 창은 더 이상 활성화되지 않습니다 .
0.5 신규 아이템 등급 배율 적용
처음 획득하는 LV 1 아이템에도 행운 시스템에 따른 등급 배율이 적용됩니다 .
로직 : 새로운 무기나 카드를 얻을 때 에픽 (Epic) 이나 레전더리 (Legendary) 등급이 당첨되면 , 1 레벨임에도 불구하고 기초 능력치가 배율만큼 (예 : 에픽 1.6 배 , 레전더리 2.0 배 ) 뻥튀기된 상태로 장착됩니다 .
기획 의도 : 유저가 이미 강화된 기존 무기를 포기하고서라도 새로운 고등급 무기를 선택할 만한 가치를 제공하며 , '대박 ' 이 터지는 뽕맛을 극대화합니다 .
0.6 성장 종료 및 예외 처리 (Max Level Logic)
게임 시스템이 무한 루프에 빠지지 않도록 명확한 상한선을 설정합니다 .
개별 만렙 처리 : 특정 무기가 40 레벨 , 또는 특정 카드가 99 레벨 에 도달하면 해당 아이템은 더 이상 업그레이드 기회 창에 등장하지 않습니다 .
강제 종료 로직 : 모든 슬롯의 아이템이 최대 레벨에 도달하여 더 이상 강화할 대상이 없는 경우 , 경험치 바가 가득 차더라도 업그레이드 기회 창이 나타나지 않습니다 . 플레이어는 더 이상의 선택 과정 없이 최종 완성된 화력으로 전투의 결말에만 집중하게 됩니다 .
</t>
  </si>
  <si>
    <t>1. 개요
본 시스템은 플레이어의 행운 (Luck) 수치에 따라 무기 강화 시의 등급과 효율을 결정합니다 . 유저는 아이템 , 강화 카드 , 강화 존을 통해 행운 수치를 쌓으며 , 이 수치는 등급 결정 확률에 직접적으로 기여합니다 .</t>
  </si>
  <si>
    <t>2. 행운 수치 계산 방식
행운이란?
오브젝트, 레벨업으로 얻는 보상에서 더 높은 등급을 얻을 확률을 말한다.
모든 출처에서 획득하는 능력치를 순서대로 합하여 값이 나온다.
행운 수치는 게임 내에서 획득하는 모든 행운 퍼센트 (%) 를 단순히 합산 (합연산 ) 하여 결정합니다 . 강화 존에서 얻는 수치는 해당 판 내내 영구적으로 유지됩니다 .
행운 수치 계산 예시 :
아이템 (클로버 7.5%) + 강화 카드 (7%) + 강화 존 (5%) = 총 행운 19.5%</t>
  </si>
  <si>
    <t>3. 등급 결정 및 확률 보정
등급 결정은 각 등급이 가진 기초 무게에 플레이어의 총 행운 수치를 반영하여 최종 당첨 확률을 정하는 방식입니다 .
밑은 등급별 기초 설정 값</t>
  </si>
  <si>
    <t>등급 (Rarity)</t>
  </si>
  <si>
    <t>기초 무게 (W)</t>
  </si>
  <si>
    <t>효율 계수 (E)</t>
  </si>
  <si>
    <t>강화 배율 (Mult)</t>
  </si>
  <si>
    <t>비고</t>
  </si>
  <si>
    <t>커먼</t>
  </si>
  <si>
    <t>행운 영향 없음</t>
  </si>
  <si>
    <t>언커먼</t>
  </si>
  <si>
    <t>완만한 증가</t>
  </si>
  <si>
    <t>레어</t>
  </si>
  <si>
    <t>확실한 체감</t>
  </si>
  <si>
    <t>에픽</t>
  </si>
  <si>
    <t>고점 투자 보상</t>
  </si>
  <si>
    <t>레전더리</t>
  </si>
  <si>
    <t>극고점 잭팟</t>
  </si>
  <si>
    <t>최종 무게 계산 방식 :
최종 무게 = 기초 무게 * (1 + (총 행운 / 100 * 등급별 효율 ))
계산 예시 (행운 100% 일 때 레전더리 무게 ) :
10 * (1 + (100 / 100 * 15.0)) = 160 (기존 10 에서 16 배 증가 )</t>
  </si>
  <si>
    <t>4. 강화 스탯 개수 결정
등급이 확정된 후 , 해당 무기의 스탯들 중 몇 개를 동시에 강화할지 결정합니다 .
이건 행운 스텟에 영향을 받지 않음</t>
  </si>
  <si>
    <t>1 개 강화 (%)</t>
  </si>
  <si>
    <t>2 개 강화 (%)</t>
  </si>
  <si>
    <t>3 개 강화 (%)</t>
  </si>
  <si>
    <t>합계</t>
  </si>
  <si>
    <t>5. 최종 강화 수치 적용 상세 프로세스 (Scenario)
강화는 시스템 내부적으로 총 3 단계의 연산 과정 을 거쳐 완료됩니다 .
1 단계 : 등급 확정 및 강화 개수 결정
ex) 플레이어가 샷건의 강화 카드 를 선택하는 순간 , 시스템은 플레이어의 현재 총 행운 수치를 계산하여 등급과 개수를 정합니다 .
현재 상태 : 플레이어 총 행운 300% (클로버 + 행운의 서 + 강화 존 합산 )
등급 판정 : 행운 300% 보정을 받아 레전더리 (2.0 배) 당첨 !
개수 판정 : 레전더리 등급의 개수 확률 (3 개 강화 확률 90%) 에 따라 이번 강화에서 3 개의 스탯 을 올리기로 확정 .
2 단계 : 대상 스탯 무작위 선정
샷건이 가진 전체 스탯 리스트 중에서 중복되지 않게 3 개 의 항목을 무작위로 뽑습니다 .
샷건 스탯 리스트 : [ 대미지 , 치명타 확률 , 넉백 , 발사체 수 , 크기 ]
추첨 결과 : 대미지 , 발사체 수 , 크기 가 이번 강화의 주인공으로 선정 .
3 단계 : 수치 계산 및 최종 반영
선택된 각 스탯의 기초 강화값 에 레전더리 배율 (2.0 배) 을 곱해 현재 무기 스탯에 더합니다 .</t>
  </si>
  <si>
    <t>선정된 스탯</t>
  </si>
  <si>
    <t>기초 강화값</t>
  </si>
  <si>
    <t>배율 적용 계산</t>
  </si>
  <si>
    <t>최종 증가 수치</t>
  </si>
  <si>
    <t>대미지</t>
  </si>
  <si>
    <t>+3</t>
  </si>
  <si>
    <t>3 * 2.0</t>
  </si>
  <si>
    <t>+6</t>
  </si>
  <si>
    <t>발사체 수</t>
  </si>
  <si>
    <t>+1</t>
  </si>
  <si>
    <t>1 * 2.0</t>
  </si>
  <si>
    <t>+2</t>
  </si>
  <si>
    <t>크기</t>
  </si>
  <si>
    <t>+15%</t>
  </si>
  <si>
    <t>15 * 2.0</t>
  </si>
  <si>
    <t>+30%</t>
  </si>
  <si>
    <t>🍀 행운 등급 가중치 시뮬레이터</t>
  </si>
  <si>
    <t>총 행운 (%) 입력 →</t>
  </si>
  <si>
    <t>등급</t>
  </si>
  <si>
    <t>기초 무게</t>
  </si>
  <si>
    <t>효율 계수</t>
  </si>
  <si>
    <t>강화 배율</t>
  </si>
  <si>
    <t>최종 무게</t>
  </si>
  <si>
    <t>확률 (%)</t>
  </si>
  <si>
    <t>1.0x</t>
  </si>
  <si>
    <t>1.2x</t>
  </si>
  <si>
    <t>1.4x</t>
  </si>
  <si>
    <t>1.6x</t>
  </si>
  <si>
    <t>2.0x</t>
  </si>
  <si>
    <t>※ B2 셀의 총 행운(%) 값을 바꾸면 확률이 자동 갱신됩니다.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</si>
</sst>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3.0"/>
      <color rgb="FFFFD700"/>
      <name val="Arial"/>
    </font>
    <font>
      <b/>
      <color rgb="FF4FC3F7"/>
      <name val="Arial"/>
    </font>
    <font>
      <b/>
      <sz val="11.0"/>
      <color rgb="FFFFD700"/>
      <name val="Arial"/>
    </font>
    <font>
      <b/>
      <color rgb="FFFFFFFF"/>
      <name val="Arial"/>
    </font>
    <font>
      <color rgb="FFFFFFFF"/>
      <name val="Arial"/>
    </font>
    <font>
      <color rgb="FFA8D8A8"/>
      <name val="Arial"/>
    </font>
    <font>
      <b/>
      <color rgb="FFFFD700"/>
      <name val="Arial"/>
    </font>
    <font>
      <i/>
      <sz val="9.0"/>
      <color rgb="FF4FC3F7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4A7A"/>
        <bgColor rgb="FF2E4A7A"/>
      </patternFill>
    </fill>
    <fill>
      <patternFill patternType="solid">
        <fgColor rgb="FF1A3A1A"/>
        <bgColor rgb="FF1A3A1A"/>
      </patternFill>
    </fill>
    <fill>
      <patternFill patternType="solid">
        <fgColor rgb="FF555555"/>
        <bgColor rgb="FF555555"/>
      </patternFill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2E7D32"/>
        <bgColor rgb="FF2E7D32"/>
      </patternFill>
    </fill>
    <fill>
      <patternFill patternType="solid">
        <fgColor rgb="FF1565C0"/>
        <bgColor rgb="FF1565C0"/>
      </patternFill>
    </fill>
    <fill>
      <patternFill patternType="solid">
        <fgColor rgb="FF6A1B9A"/>
        <bgColor rgb="FF6A1B9A"/>
      </patternFill>
    </fill>
    <fill>
      <patternFill patternType="solid">
        <fgColor rgb="FFB71C1C"/>
        <bgColor rgb="FFB71C1C"/>
      </patternFill>
    </fill>
  </fills>
  <borders count="2">
    <border/>
    <border>
      <left style="thin">
        <color rgb="FF3A5A8A"/>
      </left>
      <right style="thin">
        <color rgb="FF3A5A8A"/>
      </right>
      <top style="thin">
        <color rgb="FF3A5A8A"/>
      </top>
      <bottom style="thin">
        <color rgb="FF3A5A8A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9" xfId="0" applyAlignment="1" applyFont="1" applyNumberFormat="1">
      <alignment horizontal="right" vertical="bottom"/>
    </xf>
    <xf borderId="0" fillId="2" fontId="3" numFmtId="0" xfId="0" applyAlignment="1" applyFill="1" applyFont="1">
      <alignment horizontal="center" vertical="bottom"/>
    </xf>
    <xf borderId="0" fillId="3" fontId="4" numFmtId="0" xfId="0" applyAlignment="1" applyFill="1" applyFont="1">
      <alignment horizontal="right" vertical="bottom"/>
    </xf>
    <xf borderId="1" fillId="4" fontId="5" numFmtId="0" xfId="0" applyAlignment="1" applyBorder="1" applyFill="1" applyFont="1">
      <alignment horizontal="center" readingOrder="0" vertical="bottom"/>
    </xf>
    <xf borderId="1" fillId="3" fontId="6" numFmtId="0" xfId="0" applyAlignment="1" applyBorder="1" applyFont="1">
      <alignment horizontal="center" vertical="bottom"/>
    </xf>
    <xf borderId="1" fillId="5" fontId="6" numFmtId="0" xfId="0" applyAlignment="1" applyBorder="1" applyFill="1" applyFont="1">
      <alignment horizontal="center" vertical="bottom"/>
    </xf>
    <xf borderId="1" fillId="6" fontId="7" numFmtId="0" xfId="0" applyAlignment="1" applyBorder="1" applyFill="1" applyFont="1">
      <alignment horizontal="center" vertical="bottom"/>
    </xf>
    <xf borderId="1" fillId="7" fontId="8" numFmtId="0" xfId="0" applyAlignment="1" applyBorder="1" applyFill="1" applyFont="1">
      <alignment horizontal="center" vertical="bottom"/>
    </xf>
    <xf borderId="1" fillId="7" fontId="9" numFmtId="0" xfId="0" applyAlignment="1" applyBorder="1" applyFont="1">
      <alignment horizontal="center" vertical="bottom"/>
    </xf>
    <xf borderId="1" fillId="8" fontId="6" numFmtId="0" xfId="0" applyAlignment="1" applyBorder="1" applyFill="1" applyFont="1">
      <alignment horizontal="center" vertical="bottom"/>
    </xf>
    <xf borderId="1" fillId="9" fontId="6" numFmtId="0" xfId="0" applyAlignment="1" applyBorder="1" applyFill="1" applyFont="1">
      <alignment horizontal="center" vertical="bottom"/>
    </xf>
    <xf borderId="1" fillId="10" fontId="6" numFmtId="0" xfId="0" applyAlignment="1" applyBorder="1" applyFill="1" applyFont="1">
      <alignment horizontal="center" vertical="bottom"/>
    </xf>
    <xf borderId="1" fillId="11" fontId="6" numFmtId="0" xfId="0" applyAlignment="1" applyBorder="1" applyFill="1" applyFont="1">
      <alignment horizontal="center" vertical="bottom"/>
    </xf>
    <xf borderId="1" fillId="3" fontId="9" numFmtId="0" xfId="0" applyAlignment="1" applyBorder="1" applyFont="1">
      <alignment horizontal="center" vertical="bottom"/>
    </xf>
    <xf borderId="0" fillId="0" fontId="1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0.75"/>
    <col customWidth="1" min="3" max="3" width="10.5"/>
    <col customWidth="1" min="4" max="4" width="12.38"/>
    <col customWidth="1" min="5" max="5" width="11.13"/>
  </cols>
  <sheetData>
    <row r="1">
      <c r="A1" s="1" t="s">
        <v>0</v>
      </c>
      <c r="B1" s="1"/>
      <c r="C1" s="1"/>
      <c r="D1" s="1"/>
      <c r="E1" s="1"/>
    </row>
    <row r="2">
      <c r="A2" s="1" t="s">
        <v>1</v>
      </c>
      <c r="B2" s="1"/>
      <c r="C2" s="1"/>
      <c r="D2" s="1"/>
      <c r="E2" s="1"/>
    </row>
    <row r="3">
      <c r="A3" s="1" t="s">
        <v>2</v>
      </c>
      <c r="C3" s="1"/>
      <c r="D3" s="1"/>
      <c r="E3" s="1"/>
    </row>
    <row r="4">
      <c r="A4" s="1" t="s">
        <v>3</v>
      </c>
      <c r="B4" s="1"/>
      <c r="C4" s="1"/>
      <c r="D4" s="1"/>
      <c r="E4" s="1"/>
    </row>
    <row r="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</row>
    <row r="6">
      <c r="A6" s="1" t="s">
        <v>9</v>
      </c>
      <c r="B6" s="1">
        <v>650.0</v>
      </c>
      <c r="C6" s="1">
        <v>0.0</v>
      </c>
      <c r="D6" s="1">
        <v>1.0</v>
      </c>
      <c r="E6" s="1" t="s">
        <v>10</v>
      </c>
    </row>
    <row r="7">
      <c r="A7" s="1" t="s">
        <v>11</v>
      </c>
      <c r="B7" s="1">
        <v>200.0</v>
      </c>
      <c r="C7" s="1">
        <v>0.1</v>
      </c>
      <c r="D7" s="1">
        <v>1.2</v>
      </c>
      <c r="E7" s="1" t="s">
        <v>12</v>
      </c>
    </row>
    <row r="8">
      <c r="A8" s="1" t="s">
        <v>13</v>
      </c>
      <c r="B8" s="1">
        <v>100.0</v>
      </c>
      <c r="C8" s="1">
        <v>0.3</v>
      </c>
      <c r="D8" s="1">
        <v>1.4</v>
      </c>
      <c r="E8" s="1" t="s">
        <v>14</v>
      </c>
    </row>
    <row r="9">
      <c r="A9" s="1" t="s">
        <v>15</v>
      </c>
      <c r="B9" s="1">
        <v>40.0</v>
      </c>
      <c r="C9" s="1">
        <v>1.0</v>
      </c>
      <c r="D9" s="1">
        <v>1.6</v>
      </c>
      <c r="E9" s="1" t="s">
        <v>16</v>
      </c>
    </row>
    <row r="10">
      <c r="A10" s="1" t="s">
        <v>17</v>
      </c>
      <c r="B10" s="1">
        <v>10.0</v>
      </c>
      <c r="C10" s="1">
        <v>15.0</v>
      </c>
      <c r="D10" s="1">
        <v>2.0</v>
      </c>
      <c r="E10" s="1" t="s">
        <v>18</v>
      </c>
    </row>
    <row r="11">
      <c r="A11" s="1" t="s">
        <v>19</v>
      </c>
    </row>
    <row r="12">
      <c r="A12" s="2" t="s">
        <v>20</v>
      </c>
      <c r="B12" s="3"/>
      <c r="C12" s="3"/>
      <c r="D12" s="3"/>
      <c r="E12" s="3"/>
    </row>
    <row r="13">
      <c r="A13" s="3" t="s">
        <v>4</v>
      </c>
      <c r="B13" s="3" t="s">
        <v>21</v>
      </c>
      <c r="C13" s="3" t="s">
        <v>22</v>
      </c>
      <c r="D13" s="3" t="s">
        <v>23</v>
      </c>
      <c r="E13" s="3" t="s">
        <v>24</v>
      </c>
    </row>
    <row r="14">
      <c r="A14" s="3" t="s">
        <v>9</v>
      </c>
      <c r="B14" s="4">
        <v>60.0</v>
      </c>
      <c r="C14" s="4">
        <v>35.0</v>
      </c>
      <c r="D14" s="4">
        <v>5.0</v>
      </c>
      <c r="E14" s="5">
        <v>1.0</v>
      </c>
    </row>
    <row r="15">
      <c r="A15" s="3" t="s">
        <v>11</v>
      </c>
      <c r="B15" s="4">
        <v>40.0</v>
      </c>
      <c r="C15" s="4">
        <v>50.0</v>
      </c>
      <c r="D15" s="4">
        <v>10.0</v>
      </c>
      <c r="E15" s="5">
        <v>1.0</v>
      </c>
    </row>
    <row r="16">
      <c r="A16" s="3" t="s">
        <v>13</v>
      </c>
      <c r="B16" s="4">
        <v>15.0</v>
      </c>
      <c r="C16" s="4">
        <v>65.0</v>
      </c>
      <c r="D16" s="4">
        <v>20.0</v>
      </c>
      <c r="E16" s="5">
        <v>1.0</v>
      </c>
    </row>
    <row r="17">
      <c r="A17" s="3" t="s">
        <v>15</v>
      </c>
      <c r="B17" s="4">
        <v>5.0</v>
      </c>
      <c r="C17" s="4">
        <v>35.0</v>
      </c>
      <c r="D17" s="4">
        <v>60.0</v>
      </c>
      <c r="E17" s="5">
        <v>1.0</v>
      </c>
    </row>
    <row r="18">
      <c r="A18" s="3" t="s">
        <v>17</v>
      </c>
      <c r="B18" s="4">
        <v>0.0</v>
      </c>
      <c r="C18" s="4">
        <v>10.0</v>
      </c>
      <c r="D18" s="4">
        <v>90.0</v>
      </c>
      <c r="E18" s="5">
        <v>1.0</v>
      </c>
    </row>
    <row r="19">
      <c r="A19" s="1" t="s">
        <v>25</v>
      </c>
      <c r="I19" s="1"/>
    </row>
    <row r="20">
      <c r="A20" s="3" t="s">
        <v>26</v>
      </c>
      <c r="B20" s="3" t="s">
        <v>27</v>
      </c>
      <c r="C20" s="3" t="s">
        <v>28</v>
      </c>
      <c r="D20" s="3" t="s">
        <v>29</v>
      </c>
    </row>
    <row r="21">
      <c r="A21" s="3" t="s">
        <v>30</v>
      </c>
      <c r="B21" s="3" t="s">
        <v>31</v>
      </c>
      <c r="C21" s="3" t="s">
        <v>32</v>
      </c>
      <c r="D21" s="3" t="s">
        <v>33</v>
      </c>
    </row>
    <row r="22">
      <c r="A22" s="3" t="s">
        <v>34</v>
      </c>
      <c r="B22" s="3" t="s">
        <v>35</v>
      </c>
      <c r="C22" s="3" t="s">
        <v>36</v>
      </c>
      <c r="D22" s="3" t="s">
        <v>37</v>
      </c>
    </row>
    <row r="23">
      <c r="A23" s="3" t="s">
        <v>38</v>
      </c>
      <c r="B23" s="3" t="s">
        <v>39</v>
      </c>
      <c r="C23" s="3" t="s">
        <v>40</v>
      </c>
      <c r="D23" s="3" t="s">
        <v>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42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 t="s">
        <v>43</v>
      </c>
      <c r="B2" s="8">
        <v>2000.0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9" t="s">
        <v>44</v>
      </c>
      <c r="B3" s="9" t="s">
        <v>45</v>
      </c>
      <c r="C3" s="9" t="s">
        <v>46</v>
      </c>
      <c r="D3" s="9" t="s">
        <v>47</v>
      </c>
      <c r="E3" s="9" t="s">
        <v>48</v>
      </c>
      <c r="F3" s="9" t="s">
        <v>49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0" t="s">
        <v>9</v>
      </c>
      <c r="B4" s="11">
        <v>650.0</v>
      </c>
      <c r="C4" s="11">
        <v>0.0</v>
      </c>
      <c r="D4" s="11" t="s">
        <v>50</v>
      </c>
      <c r="E4" s="12">
        <f>650*(1+(B2/100)*0)</f>
        <v>650</v>
      </c>
      <c r="F4" s="13">
        <f>ROUND(650*(1+(B2/100)*0)/(650*(1+(B2/100)*0)+200*(1+(B2/100)*0.1)+100*(1+(B2/100)*0.3)+40*(1+(B2/100)*1)+10*(1+(B2/100)*15))*100,2)</f>
        <v>11.21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" t="s">
        <v>11</v>
      </c>
      <c r="B5" s="11">
        <v>200.0</v>
      </c>
      <c r="C5" s="11">
        <v>0.1</v>
      </c>
      <c r="D5" s="11" t="s">
        <v>51</v>
      </c>
      <c r="E5" s="12">
        <f>200*(1+(B2/100)*0.1)</f>
        <v>600</v>
      </c>
      <c r="F5" s="13">
        <f>ROUND(200*(1+(B2/100)*0.1)/(650*(1+(B2/100)*0)+200*(1+(B2/100)*0.1)+100*(1+(B2/100)*0.3)+40*(1+(B2/100)*1)+10*(1+(B2/100)*15))*100,2)</f>
        <v>10.34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5" t="s">
        <v>13</v>
      </c>
      <c r="B6" s="11">
        <v>100.0</v>
      </c>
      <c r="C6" s="11">
        <v>0.3</v>
      </c>
      <c r="D6" s="11" t="s">
        <v>52</v>
      </c>
      <c r="E6" s="12">
        <f>100*(1+(B2/100)*0.3)</f>
        <v>700</v>
      </c>
      <c r="F6" s="13">
        <f>ROUND(100*(1+(B2/100)*0.3)/(650*(1+(B2/100)*0)+200*(1+(B2/100)*0.1)+100*(1+(B2/100)*0.3)+40*(1+(B2/100)*1)+10*(1+(B2/100)*15))*100,2)</f>
        <v>12.07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6" t="s">
        <v>15</v>
      </c>
      <c r="B7" s="11">
        <v>40.0</v>
      </c>
      <c r="C7" s="11">
        <v>1.0</v>
      </c>
      <c r="D7" s="11" t="s">
        <v>53</v>
      </c>
      <c r="E7" s="12">
        <f>40*(1+(B2/100)*1)</f>
        <v>840</v>
      </c>
      <c r="F7" s="13">
        <f>ROUND(40*(1+(B2/100)*1)/(650*(1+(B2/100)*0)+200*(1+(B2/100)*0.1)+100*(1+(B2/100)*0.3)+40*(1+(B2/100)*1)+10*(1+(B2/100)*15))*100,2)</f>
        <v>14.48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7" t="s">
        <v>17</v>
      </c>
      <c r="B8" s="11">
        <v>10.0</v>
      </c>
      <c r="C8" s="11">
        <v>15.0</v>
      </c>
      <c r="D8" s="11" t="s">
        <v>54</v>
      </c>
      <c r="E8" s="12">
        <f>10*(1+(B2/100)*15)</f>
        <v>3010</v>
      </c>
      <c r="F8" s="13">
        <f>ROUND(10*(1+(B2/100)*15)/(650*(1+(B2/100)*0)+200*(1+(B2/100)*0.1)+100*(1+(B2/100)*0.3)+40*(1+(B2/100)*1)+10*(1+(B2/100)*15))*100,2)</f>
        <v>51.9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9" t="s">
        <v>24</v>
      </c>
      <c r="B9" s="3"/>
      <c r="C9" s="3"/>
      <c r="D9" s="3"/>
      <c r="E9" s="3"/>
      <c r="F9" s="18">
        <f>SUM(F4:F8)</f>
        <v>100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9" t="s">
        <v>55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F1"/>
    <mergeCell ref="A11:C11"/>
  </mergeCells>
  <drawing r:id="rId1"/>
</worksheet>
</file>